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 of Problem" sheetId="2" state="visible" r:id="rId4"/>
    <sheet name="Interventions" sheetId="3" state="visible" r:id="rId5"/>
    <sheet name="Overbook Downs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<sst xmlns="http://schemas.openxmlformats.org/spreadsheetml/2006/main" count="67" uniqueCount="66">
  <si>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Trinity No-Show Program — Assumptions</t>
  </si>
  <si>
    <t xml:space="preserve">Blue = input from analysis.  Yellow = business lever the board can change.</t>
  </si>
  <si>
    <t xml:space="preserve">FINDINGS FROM THE ANALYSIS</t>
  </si>
  <si>
    <t xml:space="preserve">No-shows per year</t>
  </si>
  <si>
    <t xml:space="preserve">drivers.py: count / years</t>
  </si>
  <si>
    <t xml:space="preserve">No-show rate</t>
  </si>
  <si>
    <t xml:space="preserve">drivers.py</t>
  </si>
  <si>
    <t xml:space="preserve">High-risk slots per year (&gt;30d lead)</t>
  </si>
  <si>
    <t xml:space="preserve">drivers.py: lead-time cohort</t>
  </si>
  <si>
    <t xml:space="preserve">High-risk no-show rate</t>
  </si>
  <si>
    <t xml:space="preserve">drivers.py: ~2x baseline</t>
  </si>
  <si>
    <t xml:space="preserve">Absorbable demand per week (rebalance)</t>
  </si>
  <si>
    <t xml:space="preserve">capacity.py: overbooked-&gt;idle</t>
  </si>
  <si>
    <t xml:space="preserve">Reminder effect (adjusted, pts)</t>
  </si>
  <si>
    <t xml:space="preserve">drivers.py: AFTER de-confounding</t>
  </si>
  <si>
    <t xml:space="preserve">BUSINESS LEVERS (board can change)</t>
  </si>
  <si>
    <t xml:space="preserve">Contribution per attended visit ($)</t>
  </si>
  <si>
    <t xml:space="preserve">From Finance — key driver</t>
  </si>
  <si>
    <t xml:space="preserve">Reminder system cost / year ($)</t>
  </si>
  <si>
    <t xml:space="preserve">Vendor estimate</t>
  </si>
  <si>
    <t xml:space="preserve">Overbooking program cost / year ($)</t>
  </si>
  <si>
    <t xml:space="preserve">Staff time + scheduling</t>
  </si>
  <si>
    <t xml:space="preserve">Rebalancing cost / year ($)</t>
  </si>
  <si>
    <t xml:space="preserve">Change management</t>
  </si>
  <si>
    <t xml:space="preserve">Collision cost per event ($)</t>
  </si>
  <si>
    <t xml:space="preserve">Patient-wait cost when both show</t>
  </si>
  <si>
    <t xml:space="preserve">Operating weeks per year</t>
  </si>
  <si>
    <t xml:space="preserve">What no-shows cost Trinity per year</t>
  </si>
  <si>
    <t xml:space="preserve">Contribution lost per no-show</t>
  </si>
  <si>
    <t xml:space="preserve">Annual cost of no-shows</t>
  </si>
  <si>
    <t xml:space="preserve">This is the number the board asked for: a defensible figure,</t>
  </si>
  <si>
    <t xml:space="preserve">computed from a no-show count that reconciles to the schedule</t>
  </si>
  <si>
    <t xml:space="preserve">and billing, times a contribution value Finance can adjust above.</t>
  </si>
  <si>
    <t xml:space="preserve">Intervention portfolio — ranked by ROI</t>
  </si>
  <si>
    <t xml:space="preserve">Intervention</t>
  </si>
  <si>
    <t xml:space="preserve">Annual benefit</t>
  </si>
  <si>
    <t xml:space="preserve">Annual cost</t>
  </si>
  <si>
    <t xml:space="preserve">Net benefit</t>
  </si>
  <si>
    <t xml:space="preserve">ROI</t>
  </si>
  <si>
    <t xml:space="preserve">Rank</t>
  </si>
  <si>
    <t xml:space="preserve">Fund?</t>
  </si>
  <si>
    <t xml:space="preserve">1. Rebalance overbooked→idle providers</t>
  </si>
  <si>
    <t xml:space="preserve">2. Controlled overbooking (high-risk)</t>
  </si>
  <si>
    <t xml:space="preserve">3. Structured reminders (pilot first)</t>
  </si>
  <si>
    <t xml:space="preserve">PORTFOLIO TOTAL</t>
  </si>
  <si>
    <t xml:space="preserve">Budget ceiling (year one)</t>
  </si>
  <si>
    <t xml:space="preserve">Total program cost</t>
  </si>
  <si>
    <t xml:space="preserve">Under budget?</t>
  </si>
  <si>
    <t xml:space="preserve">Ranking note: reminders use the ADJUSTED effect (0.7 pts), not the</t>
  </si>
  <si>
    <t xml:space="preserve">naive 2.3 pts. The naive figure was ~70% selection bias. We fund</t>
  </si>
  <si>
    <t xml:space="preserve">reminders as a measured pilot, not on the confounded comparison.</t>
  </si>
  <si>
    <t xml:space="preserve">Overbooking — the downside, priced honestly</t>
  </si>
  <si>
    <t xml:space="preserve">The objection: overbook a slot, both patients show, someone waits.</t>
  </si>
  <si>
    <t xml:space="preserve">This tab prices that collision and nets it against the upside.</t>
  </si>
  <si>
    <t xml:space="preserve">High-risk slots overbooked / year</t>
  </si>
  <si>
    <t xml:space="preserve">No-show rate on those slots</t>
  </si>
  <si>
    <t xml:space="preserve">Recovery per slot when original no-shows</t>
  </si>
  <si>
    <t xml:space="preserve">Collision prob. (original DOES show)</t>
  </si>
  <si>
    <t xml:space="preserve">Collision cost per slot</t>
  </si>
  <si>
    <t xml:space="preserve">Net benefit per overbooked slot</t>
  </si>
  <si>
    <t xml:space="preserve">Annual collision cost (all slots)</t>
  </si>
  <si>
    <t xml:space="preserve">NET annual benefit of overbooking</t>
  </si>
  <si>
    <t xml:space="preserve">Note how THIN this is: the collision cost eats most of the</t>
  </si>
  <si>
    <t xml:space="preserve">recovery. Overbooking is only marginally profitable, which is</t>
  </si>
  <si>
    <t xml:space="preserve">why it is applied ONLY to high-risk slots and monitored. This</t>
  </si>
  <si>
    <t xml:space="preserve">model supports Dr. Raghavan's caution rather than dismissing 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</si>
</sst>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"/>
    <numFmt numFmtId="168" formatCode="\$#,##0;&quot;($&quot;#,##0\);\-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5F5D5"/>
        <bgColor rgb="FFCCFFFF"/>
      </patternFill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4226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0.1395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1340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v>0.2313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27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8" t="n">
        <v>0.7</v>
      </c>
      <c r="C10" s="6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4" t="s">
        <v>16</v>
      </c>
      <c r="B13" s="9" t="n">
        <v>150</v>
      </c>
      <c r="C13" s="6" t="s">
        <v>17</v>
      </c>
    </row>
    <row r="14" customFormat="false" ht="15" hidden="false" customHeight="false" outlineLevel="0" collapsed="false">
      <c r="A14" s="4" t="s">
        <v>18</v>
      </c>
      <c r="B14" s="9" t="n">
        <v>45000</v>
      </c>
      <c r="C14" s="6" t="s">
        <v>19</v>
      </c>
    </row>
    <row r="15" customFormat="false" ht="15" hidden="false" customHeight="false" outlineLevel="0" collapsed="false">
      <c r="A15" s="4" t="s">
        <v>20</v>
      </c>
      <c r="B15" s="9" t="n">
        <v>20000</v>
      </c>
      <c r="C15" s="6" t="s">
        <v>21</v>
      </c>
    </row>
    <row r="16" customFormat="false" ht="15" hidden="false" customHeight="false" outlineLevel="0" collapsed="false">
      <c r="A16" s="4" t="s">
        <v>22</v>
      </c>
      <c r="B16" s="9" t="n">
        <v>15000</v>
      </c>
      <c r="C16" s="6" t="s">
        <v>23</v>
      </c>
    </row>
    <row r="17" customFormat="false" ht="15" hidden="false" customHeight="false" outlineLevel="0" collapsed="false">
      <c r="A17" s="4" t="s">
        <v>24</v>
      </c>
      <c r="B17" s="9" t="n">
        <v>40</v>
      </c>
      <c r="C17" s="6" t="s">
        <v>25</v>
      </c>
    </row>
    <row r="18" customFormat="false" ht="15" hidden="false" customHeight="false" outlineLevel="0" collapsed="false">
      <c r="A18" s="4" t="s">
        <v>26</v>
      </c>
      <c r="B18" s="10" t="n">
        <v>48</v>
      </c>
      <c r="C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0" t="s">
        <v>3</v>
      </c>
      <c r="B3" s="11" t="n">
        <f aca="false">Assumptions!B5</f>
        <v>4226</v>
      </c>
    </row>
    <row r="4" customFormat="false" ht="15" hidden="false" customHeight="false" outlineLevel="0" collapsed="false">
      <c r="A4" s="0" t="s">
        <v>28</v>
      </c>
      <c r="B4" s="12" t="n">
        <f aca="false">Assumptions!B13</f>
        <v>150</v>
      </c>
    </row>
    <row r="5" customFormat="false" ht="15" hidden="false" customHeight="false" outlineLevel="0" collapsed="false">
      <c r="A5" s="3" t="s">
        <v>29</v>
      </c>
      <c r="B5" s="13" t="n">
        <f aca="false">B3*B4</f>
        <v>633900</v>
      </c>
    </row>
    <row r="7" customFormat="false" ht="15" hidden="false" customHeight="false" outlineLevel="0" collapsed="false">
      <c r="A7" s="2" t="s">
        <v>30</v>
      </c>
    </row>
    <row r="8" customFormat="false" ht="15" hidden="false" customHeight="false" outlineLevel="0" collapsed="false">
      <c r="A8" s="2" t="s">
        <v>31</v>
      </c>
    </row>
    <row r="9" customFormat="false" ht="15" hidden="false" customHeight="false" outlineLevel="0" collapsed="false">
      <c r="A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14" t="s">
        <v>34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customFormat="false" ht="15" hidden="false" customHeight="false" outlineLevel="0" collapsed="false">
      <c r="A4" s="15" t="s">
        <v>41</v>
      </c>
      <c r="B4" s="16" t="n">
        <f aca="false">Assumptions!B9*Assumptions!B18*Assumptions!B13</f>
        <v>194400</v>
      </c>
      <c r="C4" s="16" t="n">
        <f aca="false">Assumptions!B16</f>
        <v>15000</v>
      </c>
      <c r="D4" s="16" t="n">
        <f aca="false">B4-C4</f>
        <v>179400</v>
      </c>
      <c r="E4" s="17" t="n">
        <f aca="false">IFERROR(D4/C4,0)</f>
        <v>11.96</v>
      </c>
      <c r="F4" s="15"/>
      <c r="G4" s="15"/>
    </row>
    <row r="5" customFormat="false" ht="15" hidden="false" customHeight="false" outlineLevel="0" collapsed="false">
      <c r="A5" s="15" t="s">
        <v>42</v>
      </c>
      <c r="B5" s="16" t="n">
        <f aca="false">'Overbook Downside'!B14</f>
        <v>5288.98</v>
      </c>
      <c r="C5" s="16" t="n">
        <f aca="false">Assumptions!B15</f>
        <v>20000</v>
      </c>
      <c r="D5" s="16" t="n">
        <f aca="false">B5-C5</f>
        <v>-14711.02</v>
      </c>
      <c r="E5" s="17" t="n">
        <f aca="false">IFERROR(D5/C5,0)</f>
        <v>-0.735551</v>
      </c>
      <c r="F5" s="15"/>
      <c r="G5" s="15"/>
    </row>
    <row r="6" customFormat="false" ht="15" hidden="false" customHeight="false" outlineLevel="0" collapsed="false">
      <c r="A6" s="15" t="s">
        <v>43</v>
      </c>
      <c r="B6" s="16" t="n">
        <f aca="false">(Assumptions!B5/0.1395)*(Assumptions!B10/100)*Assumptions!B13</f>
        <v>31808.6021505376</v>
      </c>
      <c r="C6" s="16" t="n">
        <f aca="false">Assumptions!B14</f>
        <v>45000</v>
      </c>
      <c r="D6" s="16" t="n">
        <f aca="false">B6-C6</f>
        <v>-13191.3978494624</v>
      </c>
      <c r="E6" s="17" t="n">
        <f aca="false">IFERROR(D6/C6,0)</f>
        <v>-0.293142174432497</v>
      </c>
      <c r="F6" s="15"/>
      <c r="G6" s="15"/>
    </row>
    <row r="8" customFormat="false" ht="15" hidden="false" customHeight="false" outlineLevel="0" collapsed="false">
      <c r="A8" s="3" t="s">
        <v>44</v>
      </c>
      <c r="B8" s="13" t="n">
        <f aca="false">SUM(B4:B6)</f>
        <v>231497.582150538</v>
      </c>
      <c r="C8" s="18" t="n">
        <f aca="false">SUM(C4:C6)</f>
        <v>80000</v>
      </c>
      <c r="D8" s="13" t="n">
        <f aca="false">SUM(D4:D6)</f>
        <v>151497.582150538</v>
      </c>
    </row>
    <row r="10" customFormat="false" ht="15" hidden="false" customHeight="false" outlineLevel="0" collapsed="false">
      <c r="A10" s="0" t="s">
        <v>45</v>
      </c>
      <c r="B10" s="19" t="n">
        <v>600000</v>
      </c>
    </row>
    <row r="11" customFormat="false" ht="15" hidden="false" customHeight="false" outlineLevel="0" collapsed="false">
      <c r="A11" s="0" t="s">
        <v>46</v>
      </c>
      <c r="B11" s="12" t="n">
        <f aca="false">C8</f>
        <v>80000</v>
      </c>
    </row>
    <row r="12" customFormat="false" ht="15" hidden="false" customHeight="false" outlineLevel="0" collapsed="false">
      <c r="A12" s="3" t="s">
        <v>47</v>
      </c>
      <c r="B12" s="20" t="str">
        <f aca="false">IF(B11&lt;=B10,"YES — fits","NO — over ceiling")</f>
        <v>YES — fits</v>
      </c>
    </row>
    <row r="14" customFormat="false" ht="15" hidden="false" customHeight="false" outlineLevel="0" collapsed="false">
      <c r="A14" s="2" t="s">
        <v>48</v>
      </c>
    </row>
    <row r="15" customFormat="false" ht="15" hidden="false" customHeight="false" outlineLevel="0" collapsed="false">
      <c r="A15" s="2" t="s">
        <v>49</v>
      </c>
    </row>
    <row r="16" customFormat="false" ht="15" hidden="false" customHeight="false" outlineLevel="0" collapsed="false">
      <c r="A16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2" t="s">
        <v>52</v>
      </c>
    </row>
    <row r="4" customFormat="false" ht="15" hidden="false" customHeight="false" outlineLevel="0" collapsed="false">
      <c r="A4" s="2" t="s">
        <v>53</v>
      </c>
    </row>
    <row r="6" customFormat="false" ht="15" hidden="false" customHeight="false" outlineLevel="0" collapsed="false">
      <c r="A6" s="0" t="s">
        <v>54</v>
      </c>
      <c r="B6" s="11" t="n">
        <f aca="false">Assumptions!B7</f>
        <v>1340</v>
      </c>
    </row>
    <row r="7" customFormat="false" ht="15" hidden="false" customHeight="false" outlineLevel="0" collapsed="false">
      <c r="A7" s="0" t="s">
        <v>55</v>
      </c>
      <c r="B7" s="21" t="n">
        <f aca="false">Assumptions!B8</f>
        <v>0.2313</v>
      </c>
    </row>
    <row r="8" customFormat="false" ht="15" hidden="false" customHeight="false" outlineLevel="0" collapsed="false">
      <c r="A8" s="0" t="s">
        <v>56</v>
      </c>
      <c r="B8" s="12" t="n">
        <f aca="false">B7*Assumptions!B13</f>
        <v>34.695</v>
      </c>
    </row>
    <row r="9" customFormat="false" ht="15" hidden="false" customHeight="false" outlineLevel="0" collapsed="false">
      <c r="A9" s="0" t="s">
        <v>57</v>
      </c>
      <c r="B9" s="21" t="n">
        <f aca="false">1-B7</f>
        <v>0.7687</v>
      </c>
    </row>
    <row r="10" customFormat="false" ht="15" hidden="false" customHeight="false" outlineLevel="0" collapsed="false">
      <c r="A10" s="0" t="s">
        <v>58</v>
      </c>
      <c r="B10" s="12" t="n">
        <f aca="false">B9*Assumptions!B17</f>
        <v>30.748</v>
      </c>
    </row>
    <row r="11" customFormat="false" ht="15" hidden="false" customHeight="false" outlineLevel="0" collapsed="false">
      <c r="A11" s="0" t="s">
        <v>59</v>
      </c>
      <c r="B11" s="12" t="n">
        <f aca="false">B8-B10</f>
        <v>3.947</v>
      </c>
    </row>
    <row r="12" customFormat="false" ht="15" hidden="false" customHeight="false" outlineLevel="0" collapsed="false">
      <c r="A12" s="3" t="s">
        <v>60</v>
      </c>
      <c r="B12" s="22" t="n">
        <f aca="false">B6*B10</f>
        <v>41202.32</v>
      </c>
    </row>
    <row r="14" customFormat="false" ht="15" hidden="false" customHeight="false" outlineLevel="0" collapsed="false">
      <c r="A14" s="3" t="s">
        <v>61</v>
      </c>
      <c r="B14" s="13" t="n">
        <f aca="false">B6*B11</f>
        <v>5288.98</v>
      </c>
    </row>
    <row r="16" customFormat="false" ht="15" hidden="false" customHeight="false" outlineLevel="0" collapsed="false">
      <c r="A16" s="2" t="s">
        <v>62</v>
      </c>
    </row>
    <row r="17" customFormat="false" ht="15" hidden="false" customHeight="false" outlineLevel="0" collapsed="false">
      <c r="A17" s="2" t="s">
        <v>63</v>
      </c>
    </row>
    <row r="18" customFormat="false" ht="15" hidden="false" customHeight="false" outlineLevel="0" collapsed="false">
      <c r="A18" s="2" t="s">
        <v>64</v>
      </c>
    </row>
    <row r="19" customFormat="false" ht="15" hidden="false" customHeight="false" outlineLevel="0" collapsed="false">
      <c r="A19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2026-07-16T02:09:53Z</dcterms:created>
  <dc:creator>openpyxl</dc:creator>
  <dc:description/>
  <dc:language>en-US</dc:language>
  <cp:lastModifiedBy/>
  <dcterms:modified xsi:type="dcterms:W3CDTF">2026-07-16T02:09:53Z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